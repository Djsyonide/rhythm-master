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son_rewards_calculator" sheetId="1" r:id="rId5"/>
  </sheets>
  <definedNames/>
  <calcPr/>
</workbook>
</file>

<file path=xl/sharedStrings.xml><?xml version="1.0" encoding="utf-8"?>
<sst xmlns="http://schemas.openxmlformats.org/spreadsheetml/2006/main" count="23" uniqueCount="23">
  <si>
    <t>Metric</t>
  </si>
  <si>
    <t>Value (WAX)</t>
  </si>
  <si>
    <t>Season Pass Price (WAX)</t>
  </si>
  <si>
    <t>Passes Sold</t>
  </si>
  <si>
    <t>Total Revenue (WAX)</t>
  </si>
  <si>
    <t>Player Rewards Pool (60%)</t>
  </si>
  <si>
    <t>Artist Pool (15%)</t>
  </si>
  <si>
    <t>DAO Treasury (15%)</t>
  </si>
  <si>
    <t>Operations Pool (10%)</t>
  </si>
  <si>
    <t>Track Rewards Pool (45%)</t>
  </si>
  <si>
    <t>Season Champion Pool (15%)</t>
  </si>
  <si>
    <t>Per-Track Pool (5 Tracks)</t>
  </si>
  <si>
    <t>Track 1st Place (50%)</t>
  </si>
  <si>
    <t>Track 2nd Place (30%)</t>
  </si>
  <si>
    <t>Track 3rd Place (20%)</t>
  </si>
  <si>
    <t>Total Rewards in SSN (70%)</t>
  </si>
  <si>
    <t>Total Rewards in WUF (30%)</t>
  </si>
  <si>
    <t>Track Rewards in SSN (70%)</t>
  </si>
  <si>
    <t>Track Rewards in WUF (30%)</t>
  </si>
  <si>
    <t>Champion Rewards in SSN (70%)</t>
  </si>
  <si>
    <t>Champion Rewards in WUF (30%)</t>
  </si>
  <si>
    <t>Artist Pool in SSN (50%)</t>
  </si>
  <si>
    <t>Artist Pool in WUF (50%)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</si>
</sst>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2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>
        <v>50.0</v>
      </c>
    </row>
    <row r="3">
      <c r="A3" s="3" t="s">
        <v>3</v>
      </c>
      <c r="B3" s="3">
        <v>1000.0</v>
      </c>
    </row>
    <row r="4">
      <c r="A4" s="3" t="s">
        <v>4</v>
      </c>
      <c r="B4" s="4">
        <f>B2*B3</f>
        <v>50000</v>
      </c>
    </row>
    <row r="5">
      <c r="A5" s="3" t="s">
        <v>5</v>
      </c>
      <c r="B5" s="4">
        <f>B4*0.6</f>
        <v>30000</v>
      </c>
    </row>
    <row r="6">
      <c r="A6" s="3" t="s">
        <v>6</v>
      </c>
      <c r="B6" s="4">
        <f>B4*0.15</f>
        <v>7500</v>
      </c>
    </row>
    <row r="7">
      <c r="A7" s="3" t="s">
        <v>7</v>
      </c>
      <c r="B7" s="4">
        <f>B4*0.15</f>
        <v>7500</v>
      </c>
    </row>
    <row r="8">
      <c r="A8" s="3" t="s">
        <v>8</v>
      </c>
      <c r="B8" s="4">
        <f>B4*0.1</f>
        <v>5000</v>
      </c>
    </row>
    <row r="9">
      <c r="A9" s="3" t="s">
        <v>9</v>
      </c>
      <c r="B9" s="4">
        <f>B4*0.45</f>
        <v>22500</v>
      </c>
    </row>
    <row r="10">
      <c r="A10" s="3" t="s">
        <v>10</v>
      </c>
      <c r="B10" s="4">
        <f>B4*0.15</f>
        <v>7500</v>
      </c>
    </row>
    <row r="11">
      <c r="A11" s="3" t="s">
        <v>11</v>
      </c>
      <c r="B11" s="4">
        <f>B9/5</f>
        <v>4500</v>
      </c>
    </row>
    <row r="12">
      <c r="A12" s="3" t="s">
        <v>12</v>
      </c>
      <c r="B12" s="4">
        <f>B11*0.5</f>
        <v>2250</v>
      </c>
    </row>
    <row r="13">
      <c r="A13" s="3" t="s">
        <v>13</v>
      </c>
      <c r="B13" s="4">
        <f>B11*0.3</f>
        <v>1350</v>
      </c>
    </row>
    <row r="14">
      <c r="A14" s="3" t="s">
        <v>14</v>
      </c>
      <c r="B14" s="4">
        <f>B11*0.2</f>
        <v>900</v>
      </c>
    </row>
    <row r="15">
      <c r="A15" s="3" t="s">
        <v>15</v>
      </c>
      <c r="B15" s="4">
        <f>B4*0.7</f>
        <v>35000</v>
      </c>
    </row>
    <row r="16">
      <c r="A16" s="3" t="s">
        <v>16</v>
      </c>
      <c r="B16" s="4">
        <f>B4*0.3</f>
        <v>15000</v>
      </c>
    </row>
    <row r="17">
      <c r="A17" s="3" t="s">
        <v>17</v>
      </c>
      <c r="B17" s="4">
        <f>B9*0.7</f>
        <v>15750</v>
      </c>
    </row>
    <row r="18">
      <c r="A18" s="3" t="s">
        <v>18</v>
      </c>
      <c r="B18" s="4">
        <f>B9*0.3</f>
        <v>6750</v>
      </c>
    </row>
    <row r="19">
      <c r="A19" s="3" t="s">
        <v>19</v>
      </c>
      <c r="B19" s="4">
        <f>B10*0.7</f>
        <v>5250</v>
      </c>
    </row>
    <row r="20">
      <c r="A20" s="3" t="s">
        <v>20</v>
      </c>
      <c r="B20" s="4">
        <f>B10*0.3</f>
        <v>2250</v>
      </c>
    </row>
    <row r="21">
      <c r="A21" s="3" t="s">
        <v>21</v>
      </c>
      <c r="B21" s="4">
        <f>B6*0.5</f>
        <v>3750</v>
      </c>
    </row>
    <row r="22">
      <c r="A22" s="3" t="s">
        <v>22</v>
      </c>
      <c r="B22" s="4">
        <f>B6*0.5</f>
        <v>3750</v>
      </c>
    </row>
  </sheetData>
  <drawing r:id="rId1"/>
</worksheet>
</file>