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s" sheetId="1" r:id="rId5"/>
    <sheet state="visible" name="Revenue Split" sheetId="2" r:id="rId6"/>
    <sheet state="visible" name="Reward Pools" sheetId="3" r:id="rId7"/>
    <sheet state="visible" name="Stress Test" sheetId="4" r:id="rId8"/>
  </sheets>
  <definedNames/>
  <calcPr/>
</workbook>
</file>

<file path=xl/sharedStrings.xml><?xml version="1.0" encoding="utf-8"?>
<sst xmlns="http://schemas.openxmlformats.org/spreadsheetml/2006/main" count="30" uniqueCount="30">
  <si>
    <t>Label</t>
  </si>
  <si>
    <t>Value (Season 1 Default)</t>
  </si>
  <si>
    <t>Season Pass Price (WAX)</t>
  </si>
  <si>
    <t>Expected Pass Sales</t>
  </si>
  <si>
    <t xml:space="preserve">WAX → USD </t>
  </si>
  <si>
    <t>% to Player Rewards</t>
  </si>
  <si>
    <t>% to Artist Pool</t>
  </si>
  <si>
    <t>% to DAO / Treasury</t>
  </si>
  <si>
    <t>% Ops / Dev</t>
  </si>
  <si>
    <t>Total WAX Revenue</t>
  </si>
  <si>
    <t>Player Rewards (WAX)</t>
  </si>
  <si>
    <t>Artist Pool (WAX)</t>
  </si>
  <si>
    <t>DAO Treasury (WAX)</t>
  </si>
  <si>
    <t>Ops / Dev (WAX)</t>
  </si>
  <si>
    <t>Player Rewards Breakdown</t>
  </si>
  <si>
    <t>Category</t>
  </si>
  <si>
    <t>% of Player Pool</t>
  </si>
  <si>
    <t>Track Rewards (Top 3 × 5 tracks)</t>
  </si>
  <si>
    <t>Season Champion</t>
  </si>
  <si>
    <t>Participation / Events</t>
  </si>
  <si>
    <t>Token Split (Suggested)</t>
  </si>
  <si>
    <t>Token</t>
  </si>
  <si>
    <t>%</t>
  </si>
  <si>
    <t>SSN</t>
  </si>
  <si>
    <t>WUF</t>
  </si>
  <si>
    <t>WAX</t>
  </si>
  <si>
    <t>Pass Sales</t>
  </si>
  <si>
    <t>Total WAX</t>
  </si>
  <si>
    <t>Player Rewards</t>
  </si>
  <si>
    <t>Artist Pool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</si>
</sst>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9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2</v>
      </c>
      <c r="B2" s="3">
        <v>50.0</v>
      </c>
    </row>
    <row r="3">
      <c r="A3" s="3" t="s">
        <v>3</v>
      </c>
      <c r="B3" s="3">
        <v>1000.0</v>
      </c>
    </row>
    <row r="4">
      <c r="A4" s="3" t="s">
        <v>4</v>
      </c>
      <c r="B4" s="3">
        <v>0.05</v>
      </c>
    </row>
    <row r="5">
      <c r="A5" s="3" t="s">
        <v>5</v>
      </c>
      <c r="B5" s="4">
        <v>0.6</v>
      </c>
    </row>
    <row r="6">
      <c r="A6" s="3" t="s">
        <v>6</v>
      </c>
      <c r="B6" s="4">
        <v>0.15</v>
      </c>
    </row>
    <row r="7">
      <c r="A7" s="3" t="s">
        <v>7</v>
      </c>
      <c r="B7" s="4">
        <v>0.15</v>
      </c>
    </row>
    <row r="8">
      <c r="A8" s="3" t="s">
        <v>8</v>
      </c>
      <c r="B8" s="4">
        <v>0.1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19.75"/>
  </cols>
  <sheetData>
    <row r="1">
      <c r="A1" s="3" t="s">
        <v>9</v>
      </c>
      <c r="B1" s="5">
        <f>Inputs!B2 * Inputs!B3</f>
        <v>50000</v>
      </c>
    </row>
    <row r="2">
      <c r="A2" s="3" t="s">
        <v>10</v>
      </c>
      <c r="B2" s="5">
        <f>B1 * Inputs!B5</f>
        <v>30000</v>
      </c>
    </row>
    <row r="3">
      <c r="A3" s="3" t="s">
        <v>11</v>
      </c>
      <c r="B3" s="5">
        <f>B1 * Inputs!B6</f>
        <v>7500</v>
      </c>
    </row>
    <row r="4">
      <c r="A4" s="3" t="s">
        <v>12</v>
      </c>
      <c r="B4" s="5">
        <f>B1 * Inputs!B7</f>
        <v>7500</v>
      </c>
    </row>
    <row r="5">
      <c r="A5" s="3" t="s">
        <v>13</v>
      </c>
      <c r="B5" s="5">
        <f>B1 * Inputs!B8</f>
        <v>5000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25"/>
    <col customWidth="1" min="2" max="2" width="24.13"/>
  </cols>
  <sheetData>
    <row r="1">
      <c r="A1" s="6" t="s">
        <v>14</v>
      </c>
    </row>
    <row r="2">
      <c r="A2" s="6"/>
    </row>
    <row r="3">
      <c r="A3" s="7" t="s">
        <v>15</v>
      </c>
      <c r="B3" s="7" t="s">
        <v>16</v>
      </c>
    </row>
    <row r="4">
      <c r="A4" s="6" t="s">
        <v>17</v>
      </c>
      <c r="B4" s="8">
        <v>0.7</v>
      </c>
    </row>
    <row r="5">
      <c r="A5" s="6" t="s">
        <v>18</v>
      </c>
      <c r="B5" s="8">
        <v>0.2</v>
      </c>
    </row>
    <row r="6">
      <c r="A6" s="6" t="s">
        <v>19</v>
      </c>
      <c r="B6" s="8">
        <v>0.1</v>
      </c>
    </row>
    <row r="8">
      <c r="A8" s="6" t="s">
        <v>20</v>
      </c>
    </row>
    <row r="9">
      <c r="A9" s="6"/>
    </row>
    <row r="10">
      <c r="A10" s="7" t="s">
        <v>21</v>
      </c>
      <c r="B10" s="7" t="s">
        <v>22</v>
      </c>
    </row>
    <row r="11">
      <c r="A11" s="6" t="s">
        <v>23</v>
      </c>
      <c r="B11" s="8">
        <v>0.5</v>
      </c>
    </row>
    <row r="12">
      <c r="A12" s="6" t="s">
        <v>24</v>
      </c>
      <c r="B12" s="8">
        <v>0.3</v>
      </c>
    </row>
    <row r="13">
      <c r="A13" s="6" t="s">
        <v>25</v>
      </c>
      <c r="B13" s="8">
        <v>0.2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26</v>
      </c>
      <c r="B1" s="9" t="s">
        <v>27</v>
      </c>
      <c r="C1" s="9" t="s">
        <v>28</v>
      </c>
      <c r="D1" s="9" t="s">
        <v>29</v>
      </c>
    </row>
    <row r="2">
      <c r="A2" s="3">
        <v>300.0</v>
      </c>
      <c r="B2" s="5">
        <f>50*300</f>
        <v>15000</v>
      </c>
      <c r="C2" s="5">
        <f t="shared" ref="C2:C4" si="1">B2*0.55</f>
        <v>8250</v>
      </c>
      <c r="D2" s="5">
        <f t="shared" ref="D2:D4" si="2">B2*0.15</f>
        <v>2250</v>
      </c>
    </row>
    <row r="3">
      <c r="A3" s="10">
        <v>1000.0</v>
      </c>
      <c r="B3" s="5">
        <f>50*1000</f>
        <v>50000</v>
      </c>
      <c r="C3" s="5">
        <f t="shared" si="1"/>
        <v>27500</v>
      </c>
      <c r="D3" s="5">
        <f t="shared" si="2"/>
        <v>7500</v>
      </c>
    </row>
    <row r="4">
      <c r="A4" s="10">
        <v>2500.0</v>
      </c>
      <c r="B4" s="5">
        <f>50*2500</f>
        <v>125000</v>
      </c>
      <c r="C4" s="5">
        <f t="shared" si="1"/>
        <v>68750</v>
      </c>
      <c r="D4" s="5">
        <f t="shared" si="2"/>
        <v>18750</v>
      </c>
    </row>
  </sheetData>
  <drawing r:id="rId1"/>
</worksheet>
</file>